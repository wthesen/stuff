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ogram Files\Schlumberger\Pipesim2023.1\Projects\"/>
    </mc:Choice>
  </mc:AlternateContent>
  <xr:revisionPtr revIDLastSave="0" documentId="13_ncr:1_{D5A75F9B-C2B5-4EDD-AA93-B5B575772B78}" xr6:coauthVersionLast="47" xr6:coauthVersionMax="47" xr10:uidLastSave="{00000000-0000-0000-0000-000000000000}"/>
  <bookViews>
    <workbookView xWindow="3510" yWindow="3510" windowWidth="21810" windowHeight="11295" xr2:uid="{1EEEC392-02F1-4910-95C8-0037FBAB714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F3" i="1"/>
  <c r="F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E6" i="1"/>
  <c r="E10" i="1"/>
  <c r="E14" i="1"/>
  <c r="E16" i="1"/>
  <c r="E17" i="1"/>
  <c r="E18" i="1"/>
  <c r="E22" i="1"/>
  <c r="E2" i="1"/>
  <c r="C3" i="2"/>
  <c r="E20" i="1" s="1"/>
  <c r="C4" i="2"/>
  <c r="C5" i="2"/>
  <c r="C6" i="2"/>
  <c r="E15" i="1" s="1"/>
  <c r="C7" i="2"/>
  <c r="E19" i="1" s="1"/>
  <c r="C8" i="2"/>
  <c r="E23" i="1" s="1"/>
  <c r="C9" i="2"/>
  <c r="E24" i="1" s="1"/>
  <c r="C10" i="2"/>
  <c r="E4" i="1" s="1"/>
  <c r="C11" i="2"/>
  <c r="E5" i="1" s="1"/>
  <c r="C12" i="2"/>
  <c r="E7" i="1" s="1"/>
  <c r="C13" i="2"/>
  <c r="E8" i="1" s="1"/>
  <c r="C14" i="2"/>
  <c r="E9" i="1" s="1"/>
  <c r="C15" i="2"/>
  <c r="E11" i="1" s="1"/>
  <c r="C16" i="2"/>
  <c r="E3" i="1" s="1"/>
  <c r="C17" i="2"/>
  <c r="E12" i="1" s="1"/>
  <c r="C18" i="2"/>
  <c r="E21" i="1" s="1"/>
  <c r="C19" i="2"/>
  <c r="C20" i="2"/>
  <c r="C21" i="2"/>
  <c r="C2" i="2"/>
  <c r="E13" i="1" s="1"/>
</calcChain>
</file>

<file path=xl/sharedStrings.xml><?xml version="1.0" encoding="utf-8"?>
<sst xmlns="http://schemas.openxmlformats.org/spreadsheetml/2006/main" count="162" uniqueCount="84">
  <si>
    <t xml:space="preserve"> Pressure (psia)</t>
  </si>
  <si>
    <t xml:space="preserve"> Temperature (°F)</t>
  </si>
  <si>
    <t xml:space="preserve"> Latitude</t>
  </si>
  <si>
    <t xml:space="preserve"> Longitude</t>
  </si>
  <si>
    <t xml:space="preserve"> Gas Flowrate (MSCFD)</t>
  </si>
  <si>
    <t xml:space="preserve"> UWI</t>
  </si>
  <si>
    <t xml:space="preserve"> Status</t>
  </si>
  <si>
    <t xml:space="preserve"> Formation</t>
  </si>
  <si>
    <t xml:space="preserve"> H2S</t>
  </si>
  <si>
    <t xml:space="preserve"> CO2</t>
  </si>
  <si>
    <t xml:space="preserve"> N2</t>
  </si>
  <si>
    <t xml:space="preserve"> H2</t>
  </si>
  <si>
    <t xml:space="preserve"> HE</t>
  </si>
  <si>
    <t xml:space="preserve"> C1</t>
  </si>
  <si>
    <t xml:space="preserve"> C2</t>
  </si>
  <si>
    <t xml:space="preserve"> C3</t>
  </si>
  <si>
    <t xml:space="preserve"> IC4</t>
  </si>
  <si>
    <t xml:space="preserve"> NC4</t>
  </si>
  <si>
    <t xml:space="preserve"> IC5</t>
  </si>
  <si>
    <t xml:space="preserve"> NC5</t>
  </si>
  <si>
    <t xml:space="preserve"> C6</t>
  </si>
  <si>
    <t xml:space="preserve"> C7Plus</t>
  </si>
  <si>
    <t>100/11-02-082-25W4/02</t>
  </si>
  <si>
    <t>100/15-19-081-24W4/02</t>
  </si>
  <si>
    <t>100/08-07-081-24W4/03</t>
  </si>
  <si>
    <t>100/10-36-081-25W4/03</t>
  </si>
  <si>
    <t>102/10-06-081-24W4/03</t>
  </si>
  <si>
    <t>100/11-30-081-24W4/02</t>
  </si>
  <si>
    <t>100/12-32-080-24W4/02</t>
  </si>
  <si>
    <t>100/13-20-081-24W4/04</t>
  </si>
  <si>
    <t>100/13-05-081-24W4/03</t>
  </si>
  <si>
    <t>100/14-17-081-24W4/02</t>
  </si>
  <si>
    <t>100/15-29-080-24W4/02</t>
  </si>
  <si>
    <t>100/04-07-081-24W4/02</t>
  </si>
  <si>
    <t>100/06-18-081-24W4/02</t>
  </si>
  <si>
    <t>100/06-19-081-24W4/02</t>
  </si>
  <si>
    <t>102/06-19-081-24W4/00</t>
  </si>
  <si>
    <t>102/06-20-081-24W4/02</t>
  </si>
  <si>
    <t>100/06-21-080-24W4/03</t>
  </si>
  <si>
    <t>100/06-30-081-24W4/00</t>
  </si>
  <si>
    <t>100/06-08-081-24W4/00</t>
  </si>
  <si>
    <t>102/06-08-081-24W4/00</t>
  </si>
  <si>
    <t>100/06-09-081-24W4/03</t>
  </si>
  <si>
    <t>100/07-10-082-25W4/00</t>
  </si>
  <si>
    <t>100/07-11-082-25W4/03</t>
  </si>
  <si>
    <t>Active</t>
  </si>
  <si>
    <t>Suspended</t>
  </si>
  <si>
    <t>Location</t>
  </si>
  <si>
    <t>56.08176078431269</t>
  </si>
  <si>
    <t>56.03934004002138</t>
  </si>
  <si>
    <t>56.004350410301235</t>
  </si>
  <si>
    <t>56.06582682880793</t>
  </si>
  <si>
    <t>55.993402498441625</t>
  </si>
  <si>
    <t>56.05160591864839</t>
  </si>
  <si>
    <t>55.98037647726037</t>
  </si>
  <si>
    <t>56.04225399734275</t>
  </si>
  <si>
    <t>55.996141444974356</t>
  </si>
  <si>
    <t>56.025006170474924</t>
  </si>
  <si>
    <t>55.966262476532386</t>
  </si>
  <si>
    <t>56.00199948211903</t>
  </si>
  <si>
    <t>56.02012527134795</t>
  </si>
  <si>
    <t>56.03515611041615</t>
  </si>
  <si>
    <t>56.03234809075759</t>
  </si>
  <si>
    <t>55.94570748190489</t>
  </si>
  <si>
    <t>56.04755497268927</t>
  </si>
  <si>
    <t>56.00426537714813</t>
  </si>
  <si>
    <t>56.004394376047856</t>
  </si>
  <si>
    <t>56.00534928564578</t>
  </si>
  <si>
    <t>56.09330577119652</t>
  </si>
  <si>
    <t>56.09157466813602</t>
  </si>
  <si>
    <t>McMurray</t>
  </si>
  <si>
    <t>Wabiskaw</t>
  </si>
  <si>
    <t>Wabamun</t>
  </si>
  <si>
    <t>Mannville</t>
  </si>
  <si>
    <t>Winterburn</t>
  </si>
  <si>
    <t>Clearwater</t>
  </si>
  <si>
    <t>Liquid Flow Rate (BBL/D)</t>
  </si>
  <si>
    <t>E3M3</t>
  </si>
  <si>
    <t>mcf</t>
  </si>
  <si>
    <t>m3</t>
  </si>
  <si>
    <t>bbl</t>
  </si>
  <si>
    <t>formatted_uwi</t>
  </si>
  <si>
    <t>surface_latitude</t>
  </si>
  <si>
    <t>surface_longitude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</si>
</sst>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2" borderId="1" xfId="0" applyFont="1" applyFill="1" applyBorder="1"/>
    <xf numFmtId="0" fontId="1" fillId="0" borderId="1" xfId="0" applyFont="1" applyBorder="1"/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C8C7-9930-4F91-B7CC-43CAEA26C433}">
  <sheetPr codeName="Sheet1"/>
  <dimension ref="B1:X24"/>
  <sheetViews>
    <sheetView tabSelected="1" workbookViewId="0">
      <selection activeCell="G18" sqref="G18"/>
    </sheetView>
  </sheetViews>
  <sheetFormatPr defaultRowHeight="15" x14ac:dyDescent="0.25"/>
  <cols>
    <col min="2" max="3" width="22.7109375" bestFit="1" customWidth="1"/>
    <col min="4" max="4" width="16.28515625" bestFit="1" customWidth="1"/>
    <col min="5" max="6" width="22.7109375" bestFit="1" customWidth="1"/>
    <col min="7" max="7" width="17.85546875" bestFit="1" customWidth="1"/>
    <col min="8" max="8" width="10.28515625" bestFit="1" customWidth="1"/>
  </cols>
  <sheetData>
    <row r="1" spans="2:24" x14ac:dyDescent="0.25">
      <c r="B1" t="s">
        <v>5</v>
      </c>
      <c r="C1" t="s">
        <v>0</v>
      </c>
      <c r="D1" t="s">
        <v>1</v>
      </c>
      <c r="E1" t="s">
        <v>4</v>
      </c>
      <c r="F1" t="s">
        <v>76</v>
      </c>
      <c r="G1" t="s">
        <v>2</v>
      </c>
      <c r="H1" t="s">
        <v>3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2:24" x14ac:dyDescent="0.25">
      <c r="B2" t="s">
        <v>22</v>
      </c>
      <c r="D2">
        <v>50</v>
      </c>
      <c r="E2" s="4">
        <f>VLOOKUP(B2,Sheet2!$A$2:$C$21,3)</f>
        <v>120.86149999999999</v>
      </c>
      <c r="F2" s="4">
        <f>VLOOKUP(B2,Sheet2!A2:E21,5)</f>
        <v>2.5419999999999994</v>
      </c>
      <c r="G2" s="1" t="str">
        <f>VLOOKUP(B2,Sheet3!$B$2:$D$24,2)</f>
        <v>56.09157466813602</v>
      </c>
      <c r="H2" s="5">
        <f>VLOOKUP(B2,Sheet3!$B$2:$D$24,3)</f>
        <v>-113.800045984782</v>
      </c>
      <c r="I2" t="s">
        <v>45</v>
      </c>
      <c r="J2" t="s">
        <v>70</v>
      </c>
      <c r="K2">
        <v>0</v>
      </c>
      <c r="L2">
        <v>8.8622641509433966E-3</v>
      </c>
      <c r="M2">
        <v>3.00188679245283E-3</v>
      </c>
      <c r="N2">
        <v>2.8867924528301885E-4</v>
      </c>
      <c r="O2">
        <v>1.3584905660377349E-4</v>
      </c>
      <c r="P2">
        <v>0.98403584905660368</v>
      </c>
      <c r="Q2">
        <v>1.2415094339622641E-3</v>
      </c>
      <c r="R2">
        <v>3.8490566037735854E-4</v>
      </c>
      <c r="S2">
        <v>5.3773584905660347E-4</v>
      </c>
      <c r="T2">
        <v>5.0754716981132062E-4</v>
      </c>
      <c r="U2">
        <v>3.4905660377358493E-4</v>
      </c>
      <c r="V2">
        <v>2.1320754716981131E-4</v>
      </c>
      <c r="W2">
        <v>1.9056603773584901E-4</v>
      </c>
      <c r="X2">
        <v>2.5094339622641507E-4</v>
      </c>
    </row>
    <row r="3" spans="2:24" x14ac:dyDescent="0.25">
      <c r="B3" t="s">
        <v>23</v>
      </c>
      <c r="D3">
        <v>50</v>
      </c>
      <c r="E3" s="4">
        <f>VLOOKUP(B3,Sheet2!$A$2:$C$21,3)</f>
        <v>166.38</v>
      </c>
      <c r="F3" s="4">
        <f>VLOOKUP(B3,Sheet2!A3:E22,5)</f>
        <v>1.6791666666666667</v>
      </c>
      <c r="G3" s="1" t="str">
        <f>VLOOKUP(B3,Sheet3!$B$2:$D$24,2)</f>
        <v>56.09157466813602</v>
      </c>
      <c r="H3" s="5">
        <f>VLOOKUP(B3,Sheet3!$B$2:$D$24,3)</f>
        <v>-113.800045984782</v>
      </c>
      <c r="I3" t="s">
        <v>45</v>
      </c>
      <c r="J3" t="s">
        <v>70</v>
      </c>
      <c r="K3">
        <v>0</v>
      </c>
      <c r="L3">
        <v>8.8622641509433966E-3</v>
      </c>
      <c r="M3">
        <v>3.00188679245283E-3</v>
      </c>
      <c r="N3">
        <v>2.8867924528301885E-4</v>
      </c>
      <c r="O3">
        <v>1.3584905660377349E-4</v>
      </c>
      <c r="P3">
        <v>0.98403584905660368</v>
      </c>
      <c r="Q3">
        <v>1.2415094339622641E-3</v>
      </c>
      <c r="R3">
        <v>3.8490566037735854E-4</v>
      </c>
      <c r="S3">
        <v>5.3773584905660347E-4</v>
      </c>
      <c r="T3">
        <v>5.0754716981132062E-4</v>
      </c>
      <c r="U3">
        <v>3.4905660377358493E-4</v>
      </c>
      <c r="V3">
        <v>2.1320754716981131E-4</v>
      </c>
      <c r="W3">
        <v>1.9056603773584901E-4</v>
      </c>
      <c r="X3">
        <v>2.5094339622641507E-4</v>
      </c>
    </row>
    <row r="4" spans="2:24" x14ac:dyDescent="0.25">
      <c r="B4" t="s">
        <v>24</v>
      </c>
      <c r="D4">
        <v>50</v>
      </c>
      <c r="E4" s="4">
        <f>VLOOKUP(B4,Sheet2!$A$2:$C$21,3)</f>
        <v>243.28649999999999</v>
      </c>
      <c r="F4" s="4">
        <f>IFERROR(VLOOKUP(B4,Sheet2!A4:E23,5), "")</f>
        <v>4.0713333333333335</v>
      </c>
      <c r="G4" s="1" t="str">
        <f>VLOOKUP(B4,Sheet3!$B$2:$D$24,2)</f>
        <v>56.09157466813602</v>
      </c>
      <c r="H4" s="5">
        <f>VLOOKUP(B4,Sheet3!$B$2:$D$24,3)</f>
        <v>-113.800045984782</v>
      </c>
      <c r="I4" t="s">
        <v>45</v>
      </c>
      <c r="J4" t="s">
        <v>71</v>
      </c>
      <c r="K4">
        <v>0</v>
      </c>
      <c r="L4">
        <v>8.8622641509433966E-3</v>
      </c>
      <c r="M4">
        <v>3.00188679245283E-3</v>
      </c>
      <c r="N4">
        <v>2.8867924528301885E-4</v>
      </c>
      <c r="O4">
        <v>1.3584905660377349E-4</v>
      </c>
      <c r="P4">
        <v>0.98403584905660368</v>
      </c>
      <c r="Q4">
        <v>1.2415094339622641E-3</v>
      </c>
      <c r="R4">
        <v>3.8490566037735854E-4</v>
      </c>
      <c r="S4">
        <v>5.3773584905660347E-4</v>
      </c>
      <c r="T4">
        <v>5.0754716981132062E-4</v>
      </c>
      <c r="U4">
        <v>3.4905660377358493E-4</v>
      </c>
      <c r="V4">
        <v>2.1320754716981131E-4</v>
      </c>
      <c r="W4">
        <v>1.9056603773584901E-4</v>
      </c>
      <c r="X4">
        <v>2.5094339622641507E-4</v>
      </c>
    </row>
    <row r="5" spans="2:24" x14ac:dyDescent="0.25">
      <c r="B5" t="s">
        <v>25</v>
      </c>
      <c r="D5">
        <v>50</v>
      </c>
      <c r="E5" s="4">
        <f>VLOOKUP(B5,Sheet2!$A$2:$C$21,3)</f>
        <v>162.88424999999998</v>
      </c>
      <c r="F5" s="4">
        <f>IFERROR(VLOOKUP(B5,Sheet2!A5:E24,5), "")</f>
        <v>1.4337500000000001</v>
      </c>
      <c r="G5" s="1" t="str">
        <f>VLOOKUP(B5,Sheet3!$B$2:$D$24,2)</f>
        <v>56.09157466813602</v>
      </c>
      <c r="H5" s="5">
        <f>VLOOKUP(B5,Sheet3!$B$2:$D$24,3)</f>
        <v>-113.800045984782</v>
      </c>
      <c r="I5" t="s">
        <v>45</v>
      </c>
      <c r="J5" t="s">
        <v>72</v>
      </c>
      <c r="K5">
        <v>0</v>
      </c>
      <c r="L5">
        <v>8.8622641509433966E-3</v>
      </c>
      <c r="M5">
        <v>3.00188679245283E-3</v>
      </c>
      <c r="N5">
        <v>2.8867924528301885E-4</v>
      </c>
      <c r="O5">
        <v>1.3584905660377349E-4</v>
      </c>
      <c r="P5">
        <v>0.98403584905660368</v>
      </c>
      <c r="Q5">
        <v>1.2415094339622641E-3</v>
      </c>
      <c r="R5">
        <v>3.8490566037735854E-4</v>
      </c>
      <c r="S5">
        <v>5.3773584905660347E-4</v>
      </c>
      <c r="T5">
        <v>5.0754716981132062E-4</v>
      </c>
      <c r="U5">
        <v>3.4905660377358493E-4</v>
      </c>
      <c r="V5">
        <v>2.1320754716981131E-4</v>
      </c>
      <c r="W5">
        <v>1.9056603773584901E-4</v>
      </c>
      <c r="X5">
        <v>2.5094339622641507E-4</v>
      </c>
    </row>
    <row r="6" spans="2:24" x14ac:dyDescent="0.25">
      <c r="B6" t="s">
        <v>26</v>
      </c>
      <c r="D6">
        <v>50</v>
      </c>
      <c r="E6" s="4">
        <f>VLOOKUP(B6,Sheet2!$A$2:$C$21,3)</f>
        <v>16.638000000000002</v>
      </c>
      <c r="F6" s="4">
        <f>IFERROR(VLOOKUP(B6,Sheet2!A6:E25,5), "")</f>
        <v>0.37200000000000011</v>
      </c>
      <c r="G6" s="1" t="str">
        <f>VLOOKUP(B6,Sheet3!$B$2:$D$24,2)</f>
        <v>56.09157466813602</v>
      </c>
      <c r="H6" s="5">
        <f>VLOOKUP(B6,Sheet3!$B$2:$D$24,3)</f>
        <v>-113.800045984782</v>
      </c>
      <c r="I6" t="s">
        <v>45</v>
      </c>
      <c r="J6" t="s">
        <v>72</v>
      </c>
      <c r="K6">
        <v>0</v>
      </c>
      <c r="L6">
        <v>8.8622641509433966E-3</v>
      </c>
      <c r="M6">
        <v>3.00188679245283E-3</v>
      </c>
      <c r="N6">
        <v>2.8867924528301885E-4</v>
      </c>
      <c r="O6">
        <v>1.3584905660377349E-4</v>
      </c>
      <c r="P6">
        <v>0.98403584905660368</v>
      </c>
      <c r="Q6">
        <v>1.2415094339622641E-3</v>
      </c>
      <c r="R6">
        <v>3.8490566037735854E-4</v>
      </c>
      <c r="S6">
        <v>5.3773584905660347E-4</v>
      </c>
      <c r="T6">
        <v>5.0754716981132062E-4</v>
      </c>
      <c r="U6">
        <v>3.4905660377358493E-4</v>
      </c>
      <c r="V6">
        <v>2.1320754716981131E-4</v>
      </c>
      <c r="W6">
        <v>1.9056603773584901E-4</v>
      </c>
      <c r="X6">
        <v>2.5094339622641507E-4</v>
      </c>
    </row>
    <row r="7" spans="2:24" x14ac:dyDescent="0.25">
      <c r="B7" t="s">
        <v>27</v>
      </c>
      <c r="D7">
        <v>50</v>
      </c>
      <c r="E7" s="4">
        <f>VLOOKUP(B7,Sheet2!$A$2:$C$21,3)</f>
        <v>120.86149999999999</v>
      </c>
      <c r="F7" s="4">
        <f>IFERROR(VLOOKUP(B7,Sheet2!A7:E26,5), "")</f>
        <v>2.5419999999999994</v>
      </c>
      <c r="G7" s="1" t="str">
        <f>VLOOKUP(B7,Sheet3!$B$2:$D$24,2)</f>
        <v>56.09157466813602</v>
      </c>
      <c r="H7" s="5">
        <f>VLOOKUP(B7,Sheet3!$B$2:$D$24,3)</f>
        <v>-113.800045984782</v>
      </c>
      <c r="I7" t="s">
        <v>46</v>
      </c>
      <c r="K7">
        <v>0</v>
      </c>
      <c r="L7">
        <v>8.8622641509433966E-3</v>
      </c>
      <c r="M7">
        <v>3.00188679245283E-3</v>
      </c>
      <c r="N7">
        <v>2.8867924528301885E-4</v>
      </c>
      <c r="O7">
        <v>1.3584905660377349E-4</v>
      </c>
      <c r="P7">
        <v>0.98403584905660368</v>
      </c>
      <c r="Q7">
        <v>1.2415094339622641E-3</v>
      </c>
      <c r="R7">
        <v>3.8490566037735854E-4</v>
      </c>
      <c r="S7">
        <v>5.3773584905660347E-4</v>
      </c>
      <c r="T7">
        <v>5.0754716981132062E-4</v>
      </c>
      <c r="U7">
        <v>3.4905660377358493E-4</v>
      </c>
      <c r="V7">
        <v>2.1320754716981131E-4</v>
      </c>
      <c r="W7">
        <v>1.9056603773584901E-4</v>
      </c>
      <c r="X7">
        <v>2.5094339622641507E-4</v>
      </c>
    </row>
    <row r="8" spans="2:24" x14ac:dyDescent="0.25">
      <c r="B8" t="s">
        <v>28</v>
      </c>
      <c r="D8">
        <v>50</v>
      </c>
      <c r="E8" s="4">
        <f>VLOOKUP(B8,Sheet2!$A$2:$C$21,3)</f>
        <v>382.76249999999999</v>
      </c>
      <c r="F8" s="4">
        <f>IFERROR(VLOOKUP(B8,Sheet2!A8:E27,5), "")</f>
        <v>6.2981666666666669</v>
      </c>
      <c r="G8" s="1" t="str">
        <f>VLOOKUP(B8,Sheet3!$B$2:$D$24,2)</f>
        <v>56.09157466813602</v>
      </c>
      <c r="H8" s="5">
        <f>VLOOKUP(B8,Sheet3!$B$2:$D$24,3)</f>
        <v>-113.800045984782</v>
      </c>
      <c r="I8" t="s">
        <v>45</v>
      </c>
      <c r="J8" t="s">
        <v>72</v>
      </c>
      <c r="K8">
        <v>0</v>
      </c>
      <c r="L8">
        <v>8.8622641509433966E-3</v>
      </c>
      <c r="M8">
        <v>3.00188679245283E-3</v>
      </c>
      <c r="N8">
        <v>2.8867924528301885E-4</v>
      </c>
      <c r="O8">
        <v>1.3584905660377349E-4</v>
      </c>
      <c r="P8">
        <v>0.98403584905660368</v>
      </c>
      <c r="Q8">
        <v>1.2415094339622641E-3</v>
      </c>
      <c r="R8">
        <v>3.8490566037735854E-4</v>
      </c>
      <c r="S8">
        <v>5.3773584905660347E-4</v>
      </c>
      <c r="T8">
        <v>5.0754716981132062E-4</v>
      </c>
      <c r="U8">
        <v>3.4905660377358493E-4</v>
      </c>
      <c r="V8">
        <v>2.1320754716981131E-4</v>
      </c>
      <c r="W8">
        <v>1.9056603773584901E-4</v>
      </c>
      <c r="X8">
        <v>2.5094339622641507E-4</v>
      </c>
    </row>
    <row r="9" spans="2:24" x14ac:dyDescent="0.25">
      <c r="B9" t="s">
        <v>29</v>
      </c>
      <c r="D9">
        <v>50</v>
      </c>
      <c r="E9" s="4">
        <f>VLOOKUP(B9,Sheet2!$A$2:$C$21,3)</f>
        <v>15.192500000000001</v>
      </c>
      <c r="F9" s="4">
        <f>IFERROR(VLOOKUP(B9,Sheet2!A9:E28,5), "")</f>
        <v>0.51666666666666661</v>
      </c>
      <c r="G9" s="1" t="str">
        <f>VLOOKUP(B9,Sheet3!$B$2:$D$24,2)</f>
        <v>56.09157466813602</v>
      </c>
      <c r="H9" s="5">
        <f>VLOOKUP(B9,Sheet3!$B$2:$D$24,3)</f>
        <v>-113.800045984782</v>
      </c>
      <c r="I9" t="s">
        <v>47</v>
      </c>
      <c r="J9" t="s">
        <v>73</v>
      </c>
      <c r="K9">
        <v>0</v>
      </c>
      <c r="L9">
        <v>8.8622641509433966E-3</v>
      </c>
      <c r="M9">
        <v>3.00188679245283E-3</v>
      </c>
      <c r="N9">
        <v>2.8867924528301885E-4</v>
      </c>
      <c r="O9">
        <v>1.3584905660377349E-4</v>
      </c>
      <c r="P9">
        <v>0.98403584905660368</v>
      </c>
      <c r="Q9">
        <v>1.2415094339622641E-3</v>
      </c>
      <c r="R9">
        <v>3.8490566037735854E-4</v>
      </c>
      <c r="S9">
        <v>5.3773584905660347E-4</v>
      </c>
      <c r="T9">
        <v>5.0754716981132062E-4</v>
      </c>
      <c r="U9">
        <v>3.4905660377358493E-4</v>
      </c>
      <c r="V9">
        <v>2.1320754716981131E-4</v>
      </c>
      <c r="W9">
        <v>1.9056603773584901E-4</v>
      </c>
      <c r="X9">
        <v>2.5094339622641507E-4</v>
      </c>
    </row>
    <row r="10" spans="2:24" x14ac:dyDescent="0.25">
      <c r="B10" t="s">
        <v>30</v>
      </c>
      <c r="D10">
        <v>50</v>
      </c>
      <c r="E10" s="4">
        <f>VLOOKUP(B10,Sheet2!$A$2:$C$21,3)</f>
        <v>15.192500000000001</v>
      </c>
      <c r="F10" s="4">
        <f>IFERROR(VLOOKUP(B10,Sheet2!A10:E29,5), "")</f>
        <v>0.51666666666666661</v>
      </c>
      <c r="G10" s="1" t="str">
        <f>VLOOKUP(B10,Sheet3!$B$2:$D$24,2)</f>
        <v>56.09157466813602</v>
      </c>
      <c r="H10" s="5">
        <f>VLOOKUP(B10,Sheet3!$B$2:$D$24,3)</f>
        <v>-113.800045984782</v>
      </c>
      <c r="I10" t="s">
        <v>45</v>
      </c>
      <c r="J10" t="s">
        <v>72</v>
      </c>
      <c r="K10">
        <v>0</v>
      </c>
      <c r="L10">
        <v>8.8622641509433966E-3</v>
      </c>
      <c r="M10">
        <v>3.00188679245283E-3</v>
      </c>
      <c r="N10">
        <v>2.8867924528301885E-4</v>
      </c>
      <c r="O10">
        <v>1.3584905660377349E-4</v>
      </c>
      <c r="P10">
        <v>0.98403584905660368</v>
      </c>
      <c r="Q10">
        <v>1.2415094339622641E-3</v>
      </c>
      <c r="R10">
        <v>3.8490566037735854E-4</v>
      </c>
      <c r="S10">
        <v>5.3773584905660347E-4</v>
      </c>
      <c r="T10">
        <v>5.0754716981132062E-4</v>
      </c>
      <c r="U10">
        <v>3.4905660377358493E-4</v>
      </c>
      <c r="V10">
        <v>2.1320754716981131E-4</v>
      </c>
      <c r="W10">
        <v>1.9056603773584901E-4</v>
      </c>
      <c r="X10">
        <v>2.5094339622641507E-4</v>
      </c>
    </row>
    <row r="11" spans="2:24" x14ac:dyDescent="0.25">
      <c r="B11" t="s">
        <v>31</v>
      </c>
      <c r="D11">
        <v>50</v>
      </c>
      <c r="E11" s="4">
        <f>VLOOKUP(B11,Sheet2!$A$2:$C$21,3)</f>
        <v>44.957999999999998</v>
      </c>
      <c r="F11" s="4">
        <f>IFERROR(VLOOKUP(B11,Sheet2!A11:E30,5), "")</f>
        <v>0</v>
      </c>
      <c r="G11" s="1" t="str">
        <f>VLOOKUP(B11,Sheet3!$B$2:$D$24,2)</f>
        <v>56.09157466813602</v>
      </c>
      <c r="H11" s="5">
        <f>VLOOKUP(B11,Sheet3!$B$2:$D$24,3)</f>
        <v>-113.800045984782</v>
      </c>
      <c r="I11" t="s">
        <v>45</v>
      </c>
      <c r="J11" t="s">
        <v>74</v>
      </c>
      <c r="K11">
        <v>0</v>
      </c>
      <c r="L11">
        <v>8.8622641509433966E-3</v>
      </c>
      <c r="M11">
        <v>3.00188679245283E-3</v>
      </c>
      <c r="N11">
        <v>2.8867924528301885E-4</v>
      </c>
      <c r="O11">
        <v>1.3584905660377349E-4</v>
      </c>
      <c r="P11">
        <v>0.98403584905660368</v>
      </c>
      <c r="Q11">
        <v>1.2415094339622641E-3</v>
      </c>
      <c r="R11">
        <v>3.8490566037735854E-4</v>
      </c>
      <c r="S11">
        <v>5.3773584905660347E-4</v>
      </c>
      <c r="T11">
        <v>5.0754716981132062E-4</v>
      </c>
      <c r="U11">
        <v>3.4905660377358493E-4</v>
      </c>
      <c r="V11">
        <v>2.1320754716981131E-4</v>
      </c>
      <c r="W11">
        <v>1.9056603773584901E-4</v>
      </c>
      <c r="X11">
        <v>2.5094339622641507E-4</v>
      </c>
    </row>
    <row r="12" spans="2:24" x14ac:dyDescent="0.25">
      <c r="B12" t="s">
        <v>32</v>
      </c>
      <c r="D12">
        <v>50</v>
      </c>
      <c r="E12" s="4">
        <f>VLOOKUP(B12,Sheet2!$A$2:$C$21,3)</f>
        <v>68.085999999999999</v>
      </c>
      <c r="F12" s="4">
        <f>IFERROR(VLOOKUP(B12,Sheet2!A12:E31,5), "")</f>
        <v>0.93516666666666659</v>
      </c>
      <c r="G12" s="1" t="str">
        <f>VLOOKUP(B12,Sheet3!$B$2:$D$24,2)</f>
        <v>56.09157466813602</v>
      </c>
      <c r="H12" s="5">
        <f>VLOOKUP(B12,Sheet3!$B$2:$D$24,3)</f>
        <v>-113.800045984782</v>
      </c>
      <c r="I12" t="s">
        <v>45</v>
      </c>
      <c r="J12" t="s">
        <v>71</v>
      </c>
      <c r="K12">
        <v>0</v>
      </c>
      <c r="L12">
        <v>8.8622641509433966E-3</v>
      </c>
      <c r="M12">
        <v>3.00188679245283E-3</v>
      </c>
      <c r="N12">
        <v>2.8867924528301885E-4</v>
      </c>
      <c r="O12">
        <v>1.3584905660377349E-4</v>
      </c>
      <c r="P12">
        <v>0.98403584905660368</v>
      </c>
      <c r="Q12">
        <v>1.2415094339622641E-3</v>
      </c>
      <c r="R12">
        <v>3.8490566037735854E-4</v>
      </c>
      <c r="S12">
        <v>5.3773584905660347E-4</v>
      </c>
      <c r="T12">
        <v>5.0754716981132062E-4</v>
      </c>
      <c r="U12">
        <v>3.4905660377358493E-4</v>
      </c>
      <c r="V12">
        <v>2.1320754716981131E-4</v>
      </c>
      <c r="W12">
        <v>1.9056603773584901E-4</v>
      </c>
      <c r="X12">
        <v>2.5094339622641507E-4</v>
      </c>
    </row>
    <row r="13" spans="2:24" x14ac:dyDescent="0.25">
      <c r="B13" t="s">
        <v>33</v>
      </c>
      <c r="D13">
        <v>50</v>
      </c>
      <c r="E13" s="4">
        <f>VLOOKUP(B13,Sheet2!$A$2:$C$21,3)</f>
        <v>108.41249999999999</v>
      </c>
      <c r="F13" s="4" t="str">
        <f>IFERROR(VLOOKUP(B13,Sheet2!A13:E32,5), "")</f>
        <v/>
      </c>
      <c r="G13" s="1" t="str">
        <f>VLOOKUP(B13,Sheet3!$B$2:$D$24,2)</f>
        <v>56.00199948211903</v>
      </c>
      <c r="H13" s="5">
        <f>VLOOKUP(B13,Sheet3!$B$2:$D$24,3)</f>
        <v>-113.758932917821</v>
      </c>
      <c r="I13" t="s">
        <v>45</v>
      </c>
      <c r="J13" t="s">
        <v>72</v>
      </c>
      <c r="K13">
        <v>0</v>
      </c>
      <c r="L13">
        <v>8.8622641509433966E-3</v>
      </c>
      <c r="M13">
        <v>3.00188679245283E-3</v>
      </c>
      <c r="N13">
        <v>2.8867924528301885E-4</v>
      </c>
      <c r="O13">
        <v>1.3584905660377349E-4</v>
      </c>
      <c r="P13">
        <v>0.98403584905660368</v>
      </c>
      <c r="Q13">
        <v>1.2415094339622641E-3</v>
      </c>
      <c r="R13">
        <v>3.8490566037735854E-4</v>
      </c>
      <c r="S13">
        <v>5.3773584905660347E-4</v>
      </c>
      <c r="T13">
        <v>5.0754716981132062E-4</v>
      </c>
      <c r="U13">
        <v>3.4905660377358493E-4</v>
      </c>
      <c r="V13">
        <v>2.1320754716981131E-4</v>
      </c>
      <c r="W13">
        <v>1.9056603773584901E-4</v>
      </c>
      <c r="X13">
        <v>2.5094339622641507E-4</v>
      </c>
    </row>
    <row r="14" spans="2:24" x14ac:dyDescent="0.25">
      <c r="B14" t="s">
        <v>34</v>
      </c>
      <c r="D14">
        <v>50</v>
      </c>
      <c r="E14" s="4">
        <f>VLOOKUP(B14,Sheet2!$A$2:$C$21,3)</f>
        <v>78.263499999999993</v>
      </c>
      <c r="F14" s="4" t="str">
        <f>IFERROR(VLOOKUP(B14,Sheet2!A14:E33,5), "")</f>
        <v/>
      </c>
      <c r="G14" s="1" t="str">
        <f>VLOOKUP(B14,Sheet3!$B$2:$D$24,2)</f>
        <v>56.02012527134795</v>
      </c>
      <c r="H14" s="5">
        <f>VLOOKUP(B14,Sheet3!$B$2:$D$24,3)</f>
        <v>-113.753482918861</v>
      </c>
      <c r="I14" t="s">
        <v>45</v>
      </c>
      <c r="J14" t="s">
        <v>72</v>
      </c>
      <c r="K14">
        <v>0</v>
      </c>
      <c r="L14">
        <v>8.8622641509433966E-3</v>
      </c>
      <c r="M14">
        <v>3.00188679245283E-3</v>
      </c>
      <c r="N14">
        <v>2.8867924528301885E-4</v>
      </c>
      <c r="O14">
        <v>1.3584905660377349E-4</v>
      </c>
      <c r="P14">
        <v>0.98403584905660368</v>
      </c>
      <c r="Q14">
        <v>1.2415094339622641E-3</v>
      </c>
      <c r="R14">
        <v>3.8490566037735854E-4</v>
      </c>
      <c r="S14">
        <v>5.3773584905660347E-4</v>
      </c>
      <c r="T14">
        <v>5.0754716981132062E-4</v>
      </c>
      <c r="U14">
        <v>3.4905660377358493E-4</v>
      </c>
      <c r="V14">
        <v>2.1320754716981131E-4</v>
      </c>
      <c r="W14">
        <v>1.9056603773584901E-4</v>
      </c>
      <c r="X14">
        <v>2.5094339622641507E-4</v>
      </c>
    </row>
    <row r="15" spans="2:24" x14ac:dyDescent="0.25">
      <c r="B15" t="s">
        <v>35</v>
      </c>
      <c r="D15">
        <v>50</v>
      </c>
      <c r="E15" s="4">
        <f>VLOOKUP(B15,Sheet2!$A$2:$C$21,3)</f>
        <v>77.093333333333334</v>
      </c>
      <c r="F15" s="4" t="str">
        <f>IFERROR(VLOOKUP(B15,Sheet2!A15:E34,5), "")</f>
        <v/>
      </c>
      <c r="G15" s="1" t="str">
        <f>VLOOKUP(B15,Sheet3!$B$2:$D$24,2)</f>
        <v>56.03515611041615</v>
      </c>
      <c r="H15" s="5">
        <f>VLOOKUP(B15,Sheet3!$B$2:$D$24,3)</f>
        <v>-113.757121921525</v>
      </c>
      <c r="I15" t="s">
        <v>45</v>
      </c>
      <c r="J15" t="s">
        <v>72</v>
      </c>
      <c r="K15">
        <v>0</v>
      </c>
      <c r="L15">
        <v>8.8622641509433966E-3</v>
      </c>
      <c r="M15">
        <v>3.00188679245283E-3</v>
      </c>
      <c r="N15">
        <v>2.8867924528301885E-4</v>
      </c>
      <c r="O15">
        <v>1.3584905660377349E-4</v>
      </c>
      <c r="P15">
        <v>0.98403584905660368</v>
      </c>
      <c r="Q15">
        <v>1.2415094339622641E-3</v>
      </c>
      <c r="R15">
        <v>3.8490566037735854E-4</v>
      </c>
      <c r="S15">
        <v>5.3773584905660347E-4</v>
      </c>
      <c r="T15">
        <v>5.0754716981132062E-4</v>
      </c>
      <c r="U15">
        <v>3.4905660377358493E-4</v>
      </c>
      <c r="V15">
        <v>2.1320754716981131E-4</v>
      </c>
      <c r="W15">
        <v>1.9056603773584901E-4</v>
      </c>
      <c r="X15">
        <v>2.5094339622641507E-4</v>
      </c>
    </row>
    <row r="16" spans="2:24" x14ac:dyDescent="0.25">
      <c r="B16" t="s">
        <v>36</v>
      </c>
      <c r="D16">
        <v>50</v>
      </c>
      <c r="E16" s="4">
        <f>VLOOKUP(B16,Sheet2!$A$2:$C$21,3)</f>
        <v>129.53449999999998</v>
      </c>
      <c r="F16" s="4">
        <f>IFERROR(VLOOKUP(B16,Sheet2!A16:E35,5), "")</f>
        <v>1.7463333333333335</v>
      </c>
      <c r="G16" s="1" t="str">
        <f>VLOOKUP(B16,Sheet3!$B$2:$D$24,2)</f>
        <v>56.09157466813602</v>
      </c>
      <c r="H16" s="5">
        <f>VLOOKUP(B16,Sheet3!$B$2:$D$24,3)</f>
        <v>-113.800045984782</v>
      </c>
      <c r="I16" t="s">
        <v>45</v>
      </c>
      <c r="J16" t="s">
        <v>73</v>
      </c>
      <c r="K16">
        <v>0</v>
      </c>
      <c r="L16">
        <v>8.8622641509433966E-3</v>
      </c>
      <c r="M16">
        <v>3.00188679245283E-3</v>
      </c>
      <c r="N16">
        <v>2.8867924528301885E-4</v>
      </c>
      <c r="O16">
        <v>1.3584905660377349E-4</v>
      </c>
      <c r="P16">
        <v>0.98403584905660368</v>
      </c>
      <c r="Q16">
        <v>1.2415094339622641E-3</v>
      </c>
      <c r="R16">
        <v>3.8490566037735854E-4</v>
      </c>
      <c r="S16">
        <v>5.3773584905660347E-4</v>
      </c>
      <c r="T16">
        <v>5.0754716981132062E-4</v>
      </c>
      <c r="U16">
        <v>3.4905660377358493E-4</v>
      </c>
      <c r="V16">
        <v>2.1320754716981131E-4</v>
      </c>
      <c r="W16">
        <v>1.9056603773584901E-4</v>
      </c>
      <c r="X16">
        <v>2.5094339622641507E-4</v>
      </c>
    </row>
    <row r="17" spans="2:24" x14ac:dyDescent="0.25">
      <c r="B17" t="s">
        <v>37</v>
      </c>
      <c r="D17">
        <v>50</v>
      </c>
      <c r="E17" s="4">
        <f>VLOOKUP(B17,Sheet2!$A$2:$C$21,3)</f>
        <v>13.039</v>
      </c>
      <c r="F17" s="4">
        <f>IFERROR(VLOOKUP(B17,Sheet2!A17:E36,5), "")</f>
        <v>0.31000000000000005</v>
      </c>
      <c r="G17" s="1" t="str">
        <f>VLOOKUP(B17,Sheet3!$B$2:$D$24,2)</f>
        <v>56.09157466813602</v>
      </c>
      <c r="H17" s="5">
        <f>VLOOKUP(B17,Sheet3!$B$2:$D$24,3)</f>
        <v>-113.800045984782</v>
      </c>
      <c r="I17" t="s">
        <v>45</v>
      </c>
      <c r="J17" t="s">
        <v>73</v>
      </c>
      <c r="K17">
        <v>0</v>
      </c>
      <c r="L17">
        <v>8.8622641509433966E-3</v>
      </c>
      <c r="M17">
        <v>3.00188679245283E-3</v>
      </c>
      <c r="N17">
        <v>2.8867924528301885E-4</v>
      </c>
      <c r="O17">
        <v>1.3584905660377349E-4</v>
      </c>
      <c r="P17">
        <v>0.98403584905660368</v>
      </c>
      <c r="Q17">
        <v>1.2415094339622641E-3</v>
      </c>
      <c r="R17">
        <v>3.8490566037735854E-4</v>
      </c>
      <c r="S17">
        <v>5.3773584905660347E-4</v>
      </c>
      <c r="T17">
        <v>5.0754716981132062E-4</v>
      </c>
      <c r="U17">
        <v>3.4905660377358493E-4</v>
      </c>
      <c r="V17">
        <v>2.1320754716981131E-4</v>
      </c>
      <c r="W17">
        <v>1.9056603773584901E-4</v>
      </c>
      <c r="X17">
        <v>2.5094339622641507E-4</v>
      </c>
    </row>
    <row r="18" spans="2:24" x14ac:dyDescent="0.25">
      <c r="B18" t="s">
        <v>38</v>
      </c>
      <c r="D18">
        <v>50</v>
      </c>
      <c r="E18" s="4">
        <f>VLOOKUP(B18,Sheet2!$A$2:$C$21,3)</f>
        <v>77.093333333333334</v>
      </c>
      <c r="F18" s="4" t="str">
        <f>IFERROR(VLOOKUP(B18,Sheet2!A18:E37,5), "")</f>
        <v/>
      </c>
      <c r="G18" s="1" t="str">
        <f>VLOOKUP(B18,Sheet3!$B$2:$D$24,2)</f>
        <v>56.03515611041615</v>
      </c>
      <c r="H18" s="5">
        <f>VLOOKUP(B18,Sheet3!$B$2:$D$24,3)</f>
        <v>-113.757121921525</v>
      </c>
      <c r="I18" t="s">
        <v>46</v>
      </c>
      <c r="J18" t="s">
        <v>72</v>
      </c>
      <c r="K18">
        <v>0</v>
      </c>
      <c r="L18">
        <v>8.8622641509433966E-3</v>
      </c>
      <c r="M18">
        <v>3.00188679245283E-3</v>
      </c>
      <c r="N18">
        <v>2.8867924528301885E-4</v>
      </c>
      <c r="O18">
        <v>1.3584905660377349E-4</v>
      </c>
      <c r="P18">
        <v>0.98403584905660368</v>
      </c>
      <c r="Q18">
        <v>1.2415094339622641E-3</v>
      </c>
      <c r="R18">
        <v>3.8490566037735854E-4</v>
      </c>
      <c r="S18">
        <v>5.3773584905660347E-4</v>
      </c>
      <c r="T18">
        <v>5.0754716981132062E-4</v>
      </c>
      <c r="U18">
        <v>3.4905660377358493E-4</v>
      </c>
      <c r="V18">
        <v>2.1320754716981131E-4</v>
      </c>
      <c r="W18">
        <v>1.9056603773584901E-4</v>
      </c>
      <c r="X18">
        <v>2.5094339622641507E-4</v>
      </c>
    </row>
    <row r="19" spans="2:24" x14ac:dyDescent="0.25">
      <c r="B19" t="s">
        <v>39</v>
      </c>
      <c r="D19">
        <v>50</v>
      </c>
      <c r="E19" s="4">
        <f>VLOOKUP(B19,Sheet2!$A$2:$C$21,3)</f>
        <v>136.93899999999999</v>
      </c>
      <c r="F19" s="4" t="str">
        <f>IFERROR(VLOOKUP(B19,Sheet2!A19:E38,5), "")</f>
        <v/>
      </c>
      <c r="G19" s="1" t="str">
        <f>VLOOKUP(B19,Sheet3!$B$2:$D$24,2)</f>
        <v>56.04755497268927</v>
      </c>
      <c r="H19" s="5">
        <f>VLOOKUP(B19,Sheet3!$B$2:$D$24,3)</f>
        <v>-113.75729292306301</v>
      </c>
      <c r="I19" t="s">
        <v>45</v>
      </c>
      <c r="J19" t="s">
        <v>72</v>
      </c>
      <c r="K19">
        <v>0</v>
      </c>
      <c r="L19">
        <v>8.8622641509433966E-3</v>
      </c>
      <c r="M19">
        <v>3.00188679245283E-3</v>
      </c>
      <c r="N19">
        <v>2.8867924528301885E-4</v>
      </c>
      <c r="O19">
        <v>1.3584905660377349E-4</v>
      </c>
      <c r="P19">
        <v>0.98403584905660368</v>
      </c>
      <c r="Q19">
        <v>1.2415094339622641E-3</v>
      </c>
      <c r="R19">
        <v>3.8490566037735854E-4</v>
      </c>
      <c r="S19">
        <v>5.3773584905660347E-4</v>
      </c>
      <c r="T19">
        <v>5.0754716981132062E-4</v>
      </c>
      <c r="U19">
        <v>3.4905660377358493E-4</v>
      </c>
      <c r="V19">
        <v>2.1320754716981131E-4</v>
      </c>
      <c r="W19">
        <v>1.9056603773584901E-4</v>
      </c>
      <c r="X19">
        <v>2.5094339622641507E-4</v>
      </c>
    </row>
    <row r="20" spans="2:24" x14ac:dyDescent="0.25">
      <c r="B20" t="s">
        <v>40</v>
      </c>
      <c r="D20">
        <v>50</v>
      </c>
      <c r="E20" s="4">
        <f>VLOOKUP(B20,Sheet2!$A$2:$C$21,3)</f>
        <v>348.95549999999997</v>
      </c>
      <c r="F20" s="4" t="str">
        <f>IFERROR(VLOOKUP(B20,Sheet2!A20:E39,5), "")</f>
        <v/>
      </c>
      <c r="G20" s="1" t="str">
        <f>VLOOKUP(B20,Sheet3!$B$2:$D$24,2)</f>
        <v>56.00199948211903</v>
      </c>
      <c r="H20" s="5">
        <f>VLOOKUP(B20,Sheet3!$B$2:$D$24,3)</f>
        <v>-113.758932917821</v>
      </c>
      <c r="I20" t="s">
        <v>45</v>
      </c>
      <c r="J20" t="s">
        <v>72</v>
      </c>
      <c r="K20">
        <v>0</v>
      </c>
      <c r="L20">
        <v>8.8622641509433966E-3</v>
      </c>
      <c r="M20">
        <v>3.00188679245283E-3</v>
      </c>
      <c r="N20">
        <v>2.8867924528301885E-4</v>
      </c>
      <c r="O20">
        <v>1.3584905660377349E-4</v>
      </c>
      <c r="P20">
        <v>0.98403584905660368</v>
      </c>
      <c r="Q20">
        <v>1.2415094339622641E-3</v>
      </c>
      <c r="R20">
        <v>3.8490566037735854E-4</v>
      </c>
      <c r="S20">
        <v>5.3773584905660347E-4</v>
      </c>
      <c r="T20">
        <v>5.0754716981132062E-4</v>
      </c>
      <c r="U20">
        <v>3.4905660377358493E-4</v>
      </c>
      <c r="V20">
        <v>2.1320754716981131E-4</v>
      </c>
      <c r="W20">
        <v>1.9056603773584901E-4</v>
      </c>
      <c r="X20">
        <v>2.5094339622641507E-4</v>
      </c>
    </row>
    <row r="21" spans="2:24" x14ac:dyDescent="0.25">
      <c r="B21" t="s">
        <v>41</v>
      </c>
      <c r="D21">
        <v>50</v>
      </c>
      <c r="E21" s="4">
        <f>VLOOKUP(B21,Sheet2!$A$2:$C$21,3)</f>
        <v>230.68999999999997</v>
      </c>
      <c r="F21" s="4" t="str">
        <f>IFERROR(VLOOKUP(B21,Sheet2!A21:E40,5), "")</f>
        <v/>
      </c>
      <c r="G21" s="1" t="str">
        <f>VLOOKUP(B21,Sheet3!$B$2:$D$24,2)</f>
        <v>56.09157466813602</v>
      </c>
      <c r="H21" s="5">
        <f>VLOOKUP(B21,Sheet3!$B$2:$D$24,3)</f>
        <v>-113.800045984782</v>
      </c>
      <c r="I21" t="s">
        <v>45</v>
      </c>
      <c r="J21" t="s">
        <v>75</v>
      </c>
      <c r="K21">
        <v>0</v>
      </c>
      <c r="L21">
        <v>8.8622641509433966E-3</v>
      </c>
      <c r="M21">
        <v>3.00188679245283E-3</v>
      </c>
      <c r="N21">
        <v>2.8867924528301885E-4</v>
      </c>
      <c r="O21">
        <v>1.3584905660377349E-4</v>
      </c>
      <c r="P21">
        <v>0.98403584905660368</v>
      </c>
      <c r="Q21">
        <v>1.2415094339622641E-3</v>
      </c>
      <c r="R21">
        <v>3.8490566037735854E-4</v>
      </c>
      <c r="S21">
        <v>5.3773584905660347E-4</v>
      </c>
      <c r="T21">
        <v>5.0754716981132062E-4</v>
      </c>
      <c r="U21">
        <v>3.4905660377358493E-4</v>
      </c>
      <c r="V21">
        <v>2.1320754716981131E-4</v>
      </c>
      <c r="W21">
        <v>1.9056603773584901E-4</v>
      </c>
      <c r="X21">
        <v>2.5094339622641507E-4</v>
      </c>
    </row>
    <row r="22" spans="2:24" x14ac:dyDescent="0.25">
      <c r="B22" t="s">
        <v>42</v>
      </c>
      <c r="D22">
        <v>50</v>
      </c>
      <c r="E22" s="4">
        <f>VLOOKUP(B22,Sheet2!$A$2:$C$21,3)</f>
        <v>284.61600000000004</v>
      </c>
      <c r="F22" s="4" t="str">
        <f>IFERROR(VLOOKUP(B22,Sheet2!A22:E41,5), "")</f>
        <v/>
      </c>
      <c r="G22" s="1" t="str">
        <f>VLOOKUP(B22,Sheet3!$B$2:$D$24,2)</f>
        <v>56.00199948211903</v>
      </c>
      <c r="H22" s="5">
        <f>VLOOKUP(B22,Sheet3!$B$2:$D$24,3)</f>
        <v>-113.758932917821</v>
      </c>
      <c r="I22" t="s">
        <v>45</v>
      </c>
      <c r="J22" t="s">
        <v>71</v>
      </c>
      <c r="K22">
        <v>0</v>
      </c>
      <c r="L22">
        <v>8.8622641509433966E-3</v>
      </c>
      <c r="M22">
        <v>3.00188679245283E-3</v>
      </c>
      <c r="N22">
        <v>2.8867924528301885E-4</v>
      </c>
      <c r="O22">
        <v>1.3584905660377349E-4</v>
      </c>
      <c r="P22">
        <v>0.98403584905660368</v>
      </c>
      <c r="Q22">
        <v>1.2415094339622641E-3</v>
      </c>
      <c r="R22">
        <v>3.8490566037735854E-4</v>
      </c>
      <c r="S22">
        <v>5.3773584905660347E-4</v>
      </c>
      <c r="T22">
        <v>5.0754716981132062E-4</v>
      </c>
      <c r="U22">
        <v>3.4905660377358493E-4</v>
      </c>
      <c r="V22">
        <v>2.1320754716981131E-4</v>
      </c>
      <c r="W22">
        <v>1.9056603773584901E-4</v>
      </c>
      <c r="X22">
        <v>2.5094339622641507E-4</v>
      </c>
    </row>
    <row r="23" spans="2:24" x14ac:dyDescent="0.25">
      <c r="B23" t="s">
        <v>43</v>
      </c>
      <c r="D23">
        <v>50</v>
      </c>
      <c r="E23" s="4">
        <f>VLOOKUP(B23,Sheet2!$A$2:$C$21,3)</f>
        <v>149.97800000000001</v>
      </c>
      <c r="F23" s="4" t="str">
        <f>IFERROR(VLOOKUP(B23,Sheet2!A23:E42,5), "")</f>
        <v/>
      </c>
      <c r="G23" s="1" t="str">
        <f>VLOOKUP(B23,Sheet3!$B$2:$D$24,2)</f>
        <v>56.09330577119652</v>
      </c>
      <c r="H23" s="5">
        <f>VLOOKUP(B23,Sheet3!$B$2:$D$24,3)</f>
        <v>-113.829254011242</v>
      </c>
      <c r="I23" t="s">
        <v>45</v>
      </c>
      <c r="J23" t="s">
        <v>72</v>
      </c>
      <c r="K23">
        <v>0</v>
      </c>
      <c r="L23">
        <v>8.8622641509433966E-3</v>
      </c>
      <c r="M23">
        <v>3.00188679245283E-3</v>
      </c>
      <c r="N23">
        <v>2.8867924528301885E-4</v>
      </c>
      <c r="O23">
        <v>1.3584905660377349E-4</v>
      </c>
      <c r="P23">
        <v>0.98403584905660368</v>
      </c>
      <c r="Q23">
        <v>1.2415094339622641E-3</v>
      </c>
      <c r="R23">
        <v>3.8490566037735854E-4</v>
      </c>
      <c r="S23">
        <v>5.3773584905660347E-4</v>
      </c>
      <c r="T23">
        <v>5.0754716981132062E-4</v>
      </c>
      <c r="U23">
        <v>3.4905660377358493E-4</v>
      </c>
      <c r="V23">
        <v>2.1320754716981131E-4</v>
      </c>
      <c r="W23">
        <v>1.9056603773584901E-4</v>
      </c>
      <c r="X23">
        <v>2.5094339622641507E-4</v>
      </c>
    </row>
    <row r="24" spans="2:24" x14ac:dyDescent="0.25">
      <c r="B24" t="s">
        <v>44</v>
      </c>
      <c r="D24">
        <v>50</v>
      </c>
      <c r="E24" s="4">
        <f>VLOOKUP(B24,Sheet2!$A$2:$C$21,3)</f>
        <v>150.03700000000001</v>
      </c>
      <c r="F24" t="str">
        <f>IFERROR(VLOOKUP(B24,Sheet2!A24:E43,5), "")</f>
        <v/>
      </c>
      <c r="G24" s="1" t="str">
        <f>VLOOKUP(B24,Sheet3!$B$2:$D$24,2)</f>
        <v>56.09157466813602</v>
      </c>
      <c r="H24" s="5">
        <f>VLOOKUP(B24,Sheet3!$B$2:$D$24,3)</f>
        <v>-113.800045984782</v>
      </c>
      <c r="I24" t="s">
        <v>45</v>
      </c>
      <c r="K24">
        <v>0</v>
      </c>
      <c r="L24">
        <v>8.8622641509433966E-3</v>
      </c>
      <c r="M24">
        <v>3.00188679245283E-3</v>
      </c>
      <c r="N24">
        <v>2.8867924528301885E-4</v>
      </c>
      <c r="O24">
        <v>1.3584905660377349E-4</v>
      </c>
      <c r="P24">
        <v>0.98403584905660368</v>
      </c>
      <c r="Q24">
        <v>1.2415094339622641E-3</v>
      </c>
      <c r="R24">
        <v>3.8490566037735854E-4</v>
      </c>
      <c r="S24">
        <v>5.3773584905660347E-4</v>
      </c>
      <c r="T24">
        <v>5.0754716981132062E-4</v>
      </c>
      <c r="U24">
        <v>3.4905660377358493E-4</v>
      </c>
      <c r="V24">
        <v>2.1320754716981131E-4</v>
      </c>
      <c r="W24">
        <v>1.9056603773584901E-4</v>
      </c>
      <c r="X24">
        <v>2.5094339622641507E-4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028F-F5C0-4414-896B-03529DB0C8A3}">
  <sheetPr codeName="Sheet2"/>
  <dimension ref="A1:E21"/>
  <sheetViews>
    <sheetView workbookViewId="0">
      <selection activeCell="G7" sqref="G7"/>
    </sheetView>
  </sheetViews>
  <sheetFormatPr defaultRowHeight="15" x14ac:dyDescent="0.25"/>
  <cols>
    <col min="1" max="1" width="21.85546875" bestFit="1" customWidth="1"/>
  </cols>
  <sheetData>
    <row r="1" spans="1:5" x14ac:dyDescent="0.25">
      <c r="B1" t="s">
        <v>77</v>
      </c>
      <c r="C1" t="s">
        <v>78</v>
      </c>
      <c r="D1" t="s">
        <v>79</v>
      </c>
      <c r="E1" t="s">
        <v>80</v>
      </c>
    </row>
    <row r="2" spans="1:5" x14ac:dyDescent="0.25">
      <c r="A2" s="2" t="s">
        <v>33</v>
      </c>
      <c r="B2" s="3">
        <v>3.0625</v>
      </c>
      <c r="C2">
        <f>B2*35.4</f>
        <v>108.41249999999999</v>
      </c>
      <c r="D2">
        <v>0.43583333333333329</v>
      </c>
      <c r="E2">
        <f>D2*6.2</f>
        <v>2.7021666666666664</v>
      </c>
    </row>
    <row r="3" spans="1:5" x14ac:dyDescent="0.25">
      <c r="A3" s="2" t="s">
        <v>40</v>
      </c>
      <c r="B3" s="3">
        <v>9.8574999999999999</v>
      </c>
      <c r="C3">
        <f t="shared" ref="C3:C21" si="0">B3*35.4</f>
        <v>348.95549999999997</v>
      </c>
      <c r="D3">
        <v>0.65666666666666662</v>
      </c>
      <c r="E3">
        <f t="shared" ref="E3:E21" si="1">D3*6.2</f>
        <v>4.0713333333333335</v>
      </c>
    </row>
    <row r="4" spans="1:5" x14ac:dyDescent="0.25">
      <c r="A4" s="2" t="s">
        <v>42</v>
      </c>
      <c r="B4" s="3">
        <v>8.0400000000000009</v>
      </c>
      <c r="C4">
        <f t="shared" si="0"/>
        <v>284.61600000000004</v>
      </c>
      <c r="D4">
        <v>0.27166666666666667</v>
      </c>
      <c r="E4">
        <f t="shared" si="1"/>
        <v>1.6843333333333335</v>
      </c>
    </row>
    <row r="5" spans="1:5" x14ac:dyDescent="0.25">
      <c r="A5" s="2" t="s">
        <v>34</v>
      </c>
      <c r="B5" s="3">
        <v>2.2108333333333334</v>
      </c>
      <c r="C5">
        <f t="shared" si="0"/>
        <v>78.263499999999993</v>
      </c>
      <c r="D5">
        <v>0.38000000000000006</v>
      </c>
      <c r="E5">
        <f t="shared" si="1"/>
        <v>2.3560000000000003</v>
      </c>
    </row>
    <row r="6" spans="1:5" x14ac:dyDescent="0.25">
      <c r="A6" s="2" t="s">
        <v>35</v>
      </c>
      <c r="B6" s="3">
        <v>2.177777777777778</v>
      </c>
      <c r="C6">
        <f t="shared" si="0"/>
        <v>77.093333333333334</v>
      </c>
      <c r="D6">
        <v>0.17555555555555558</v>
      </c>
      <c r="E6">
        <f t="shared" si="1"/>
        <v>1.0884444444444445</v>
      </c>
    </row>
    <row r="7" spans="1:5" x14ac:dyDescent="0.25">
      <c r="A7" s="2" t="s">
        <v>39</v>
      </c>
      <c r="B7" s="3">
        <v>3.8683333333333336</v>
      </c>
      <c r="C7">
        <f t="shared" si="0"/>
        <v>136.93899999999999</v>
      </c>
      <c r="D7">
        <v>0.33250000000000002</v>
      </c>
      <c r="E7">
        <f t="shared" si="1"/>
        <v>2.0615000000000001</v>
      </c>
    </row>
    <row r="8" spans="1:5" x14ac:dyDescent="0.25">
      <c r="A8" s="2" t="s">
        <v>43</v>
      </c>
      <c r="B8" s="3">
        <v>4.2366666666666672</v>
      </c>
      <c r="C8">
        <f t="shared" si="0"/>
        <v>149.97800000000001</v>
      </c>
      <c r="D8">
        <v>0</v>
      </c>
      <c r="E8">
        <f t="shared" si="1"/>
        <v>0</v>
      </c>
    </row>
    <row r="9" spans="1:5" x14ac:dyDescent="0.25">
      <c r="A9" s="2" t="s">
        <v>44</v>
      </c>
      <c r="B9" s="3">
        <v>4.2383333333333333</v>
      </c>
      <c r="C9">
        <f t="shared" si="0"/>
        <v>150.03700000000001</v>
      </c>
      <c r="D9">
        <v>0.46083333333333337</v>
      </c>
      <c r="E9">
        <f t="shared" si="1"/>
        <v>2.8571666666666671</v>
      </c>
    </row>
    <row r="10" spans="1:5" x14ac:dyDescent="0.25">
      <c r="A10" s="2" t="s">
        <v>24</v>
      </c>
      <c r="B10" s="3">
        <v>6.8724999999999996</v>
      </c>
      <c r="C10">
        <f t="shared" si="0"/>
        <v>243.28649999999999</v>
      </c>
      <c r="D10">
        <v>0.65666666666666662</v>
      </c>
      <c r="E10">
        <f t="shared" si="1"/>
        <v>4.0713333333333335</v>
      </c>
    </row>
    <row r="11" spans="1:5" x14ac:dyDescent="0.25">
      <c r="A11" s="2" t="s">
        <v>25</v>
      </c>
      <c r="B11" s="3">
        <v>4.6012499999999994</v>
      </c>
      <c r="C11">
        <f t="shared" si="0"/>
        <v>162.88424999999998</v>
      </c>
      <c r="D11">
        <v>0.23125000000000001</v>
      </c>
      <c r="E11">
        <f t="shared" si="1"/>
        <v>1.4337500000000001</v>
      </c>
    </row>
    <row r="12" spans="1:5" x14ac:dyDescent="0.25">
      <c r="A12" s="2" t="s">
        <v>22</v>
      </c>
      <c r="B12" s="3">
        <v>3.4141666666666666</v>
      </c>
      <c r="C12">
        <f t="shared" si="0"/>
        <v>120.86149999999999</v>
      </c>
      <c r="D12">
        <v>0.40999999999999992</v>
      </c>
      <c r="E12">
        <f t="shared" si="1"/>
        <v>2.5419999999999994</v>
      </c>
    </row>
    <row r="13" spans="1:5" x14ac:dyDescent="0.25">
      <c r="A13" s="2" t="s">
        <v>28</v>
      </c>
      <c r="B13" s="3">
        <v>10.8125</v>
      </c>
      <c r="C13">
        <f t="shared" si="0"/>
        <v>382.76249999999999</v>
      </c>
      <c r="D13">
        <v>1.0158333333333334</v>
      </c>
      <c r="E13">
        <f t="shared" si="1"/>
        <v>6.2981666666666669</v>
      </c>
    </row>
    <row r="14" spans="1:5" x14ac:dyDescent="0.25">
      <c r="A14" s="2" t="s">
        <v>30</v>
      </c>
      <c r="B14" s="3">
        <v>0.4291666666666667</v>
      </c>
      <c r="C14">
        <f t="shared" si="0"/>
        <v>15.192500000000001</v>
      </c>
      <c r="D14">
        <v>8.3333333333333329E-2</v>
      </c>
      <c r="E14">
        <f t="shared" si="1"/>
        <v>0.51666666666666661</v>
      </c>
    </row>
    <row r="15" spans="1:5" x14ac:dyDescent="0.25">
      <c r="A15" s="2" t="s">
        <v>31</v>
      </c>
      <c r="B15" s="3">
        <v>1.27</v>
      </c>
      <c r="C15">
        <f t="shared" si="0"/>
        <v>44.957999999999998</v>
      </c>
      <c r="D15">
        <v>0</v>
      </c>
      <c r="E15">
        <f t="shared" si="1"/>
        <v>0</v>
      </c>
    </row>
    <row r="16" spans="1:5" x14ac:dyDescent="0.25">
      <c r="A16" s="2" t="s">
        <v>23</v>
      </c>
      <c r="B16" s="3">
        <v>4.7</v>
      </c>
      <c r="C16">
        <f t="shared" si="0"/>
        <v>166.38</v>
      </c>
      <c r="D16">
        <v>0.27083333333333331</v>
      </c>
      <c r="E16">
        <f t="shared" si="1"/>
        <v>1.6791666666666667</v>
      </c>
    </row>
    <row r="17" spans="1:5" x14ac:dyDescent="0.25">
      <c r="A17" s="2" t="s">
        <v>32</v>
      </c>
      <c r="B17" s="3">
        <v>1.9233333333333336</v>
      </c>
      <c r="C17">
        <f t="shared" si="0"/>
        <v>68.085999999999999</v>
      </c>
      <c r="D17">
        <v>0.15083333333333332</v>
      </c>
      <c r="E17">
        <f t="shared" si="1"/>
        <v>0.93516666666666659</v>
      </c>
    </row>
    <row r="18" spans="1:5" x14ac:dyDescent="0.25">
      <c r="A18" s="2" t="s">
        <v>41</v>
      </c>
      <c r="B18" s="3">
        <v>6.5166666666666657</v>
      </c>
      <c r="C18">
        <f t="shared" si="0"/>
        <v>230.68999999999997</v>
      </c>
      <c r="D18">
        <v>0.57333333333333336</v>
      </c>
      <c r="E18">
        <f t="shared" si="1"/>
        <v>3.5546666666666669</v>
      </c>
    </row>
    <row r="19" spans="1:5" x14ac:dyDescent="0.25">
      <c r="A19" s="2" t="s">
        <v>36</v>
      </c>
      <c r="B19" s="3">
        <v>3.6591666666666662</v>
      </c>
      <c r="C19">
        <f t="shared" si="0"/>
        <v>129.53449999999998</v>
      </c>
      <c r="D19">
        <v>0.28166666666666668</v>
      </c>
      <c r="E19">
        <f t="shared" si="1"/>
        <v>1.7463333333333335</v>
      </c>
    </row>
    <row r="20" spans="1:5" x14ac:dyDescent="0.25">
      <c r="A20" s="2" t="s">
        <v>37</v>
      </c>
      <c r="B20" s="3">
        <v>0.36833333333333335</v>
      </c>
      <c r="C20">
        <f t="shared" si="0"/>
        <v>13.039</v>
      </c>
      <c r="D20">
        <v>5.000000000000001E-2</v>
      </c>
      <c r="E20">
        <f t="shared" si="1"/>
        <v>0.31000000000000005</v>
      </c>
    </row>
    <row r="21" spans="1:5" x14ac:dyDescent="0.25">
      <c r="A21" s="2" t="s">
        <v>26</v>
      </c>
      <c r="B21" s="3">
        <v>0.47000000000000003</v>
      </c>
      <c r="C21">
        <f t="shared" si="0"/>
        <v>16.638000000000002</v>
      </c>
      <c r="D21">
        <v>6.0000000000000019E-2</v>
      </c>
      <c r="E21">
        <f t="shared" si="1"/>
        <v>0.37200000000000011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8199-7811-496D-98BE-FBE76B0B9496}">
  <sheetPr codeName="Sheet3"/>
  <dimension ref="B1:D24"/>
  <sheetViews>
    <sheetView topLeftCell="A4" workbookViewId="0">
      <selection activeCell="G7" sqref="G7"/>
    </sheetView>
  </sheetViews>
  <sheetFormatPr defaultRowHeight="15" x14ac:dyDescent="0.25"/>
  <sheetData>
    <row r="1" spans="2:4" x14ac:dyDescent="0.25">
      <c r="B1" t="s">
        <v>81</v>
      </c>
      <c r="C1" t="s">
        <v>82</v>
      </c>
      <c r="D1" t="s">
        <v>83</v>
      </c>
    </row>
    <row r="2" spans="2:4" x14ac:dyDescent="0.25">
      <c r="B2" t="s">
        <v>22</v>
      </c>
      <c r="C2" t="s">
        <v>48</v>
      </c>
      <c r="D2">
        <v>-113.805336960227</v>
      </c>
    </row>
    <row r="3" spans="2:4" x14ac:dyDescent="0.25">
      <c r="B3" t="s">
        <v>23</v>
      </c>
      <c r="C3" t="s">
        <v>49</v>
      </c>
      <c r="D3">
        <v>-113.74509485574001</v>
      </c>
    </row>
    <row r="4" spans="2:4" x14ac:dyDescent="0.25">
      <c r="B4" t="s">
        <v>24</v>
      </c>
      <c r="C4" t="s">
        <v>50</v>
      </c>
      <c r="D4">
        <v>-113.739057738119</v>
      </c>
    </row>
    <row r="5" spans="2:4" x14ac:dyDescent="0.25">
      <c r="B5" t="s">
        <v>25</v>
      </c>
      <c r="C5" t="s">
        <v>51</v>
      </c>
      <c r="D5">
        <v>-113.77462293518801</v>
      </c>
    </row>
    <row r="6" spans="2:4" x14ac:dyDescent="0.25">
      <c r="B6" t="s">
        <v>26</v>
      </c>
      <c r="C6" t="s">
        <v>52</v>
      </c>
      <c r="D6">
        <v>-113.74783788764501</v>
      </c>
    </row>
    <row r="7" spans="2:4" x14ac:dyDescent="0.25">
      <c r="B7" t="s">
        <v>27</v>
      </c>
      <c r="C7" t="s">
        <v>53</v>
      </c>
      <c r="D7">
        <v>-113.754258922115</v>
      </c>
    </row>
    <row r="8" spans="2:4" x14ac:dyDescent="0.25">
      <c r="B8" t="s">
        <v>28</v>
      </c>
      <c r="C8" t="s">
        <v>54</v>
      </c>
      <c r="D8">
        <v>-113.732919691455</v>
      </c>
    </row>
    <row r="9" spans="2:4" x14ac:dyDescent="0.25">
      <c r="B9" t="s">
        <v>29</v>
      </c>
      <c r="C9" t="s">
        <v>55</v>
      </c>
      <c r="D9">
        <v>-113.735335733608</v>
      </c>
    </row>
    <row r="10" spans="2:4" x14ac:dyDescent="0.25">
      <c r="B10" t="s">
        <v>30</v>
      </c>
      <c r="C10" t="s">
        <v>56</v>
      </c>
      <c r="D10">
        <v>-113.733088645078</v>
      </c>
    </row>
    <row r="11" spans="2:4" x14ac:dyDescent="0.25">
      <c r="B11" t="s">
        <v>31</v>
      </c>
      <c r="C11" t="s">
        <v>57</v>
      </c>
      <c r="D11">
        <v>-113.73064164063599</v>
      </c>
    </row>
    <row r="12" spans="2:4" x14ac:dyDescent="0.25">
      <c r="B12" t="s">
        <v>32</v>
      </c>
      <c r="C12" t="s">
        <v>58</v>
      </c>
      <c r="D12">
        <v>-113.721225592862</v>
      </c>
    </row>
    <row r="13" spans="2:4" x14ac:dyDescent="0.25">
      <c r="B13" t="s">
        <v>33</v>
      </c>
      <c r="C13" t="s">
        <v>59</v>
      </c>
      <c r="D13">
        <v>-113.758932917821</v>
      </c>
    </row>
    <row r="14" spans="2:4" x14ac:dyDescent="0.25">
      <c r="B14" t="s">
        <v>34</v>
      </c>
      <c r="C14" t="s">
        <v>60</v>
      </c>
      <c r="D14">
        <v>-113.753482918861</v>
      </c>
    </row>
    <row r="15" spans="2:4" x14ac:dyDescent="0.25">
      <c r="B15" t="s">
        <v>35</v>
      </c>
      <c r="C15" t="s">
        <v>61</v>
      </c>
      <c r="D15">
        <v>-113.757121921525</v>
      </c>
    </row>
    <row r="16" spans="2:4" x14ac:dyDescent="0.25">
      <c r="B16" t="s">
        <v>36</v>
      </c>
      <c r="C16">
        <v>56.034884113499501</v>
      </c>
      <c r="D16">
        <v>-113.757143921501</v>
      </c>
    </row>
    <row r="17" spans="2:4" x14ac:dyDescent="0.25">
      <c r="B17" t="s">
        <v>37</v>
      </c>
      <c r="C17" t="s">
        <v>62</v>
      </c>
      <c r="D17">
        <v>-113.728193621503</v>
      </c>
    </row>
    <row r="18" spans="2:4" x14ac:dyDescent="0.25">
      <c r="B18" t="s">
        <v>38</v>
      </c>
      <c r="C18" t="s">
        <v>63</v>
      </c>
      <c r="D18">
        <v>-113.700352493203</v>
      </c>
    </row>
    <row r="19" spans="2:4" x14ac:dyDescent="0.25">
      <c r="B19" t="s">
        <v>39</v>
      </c>
      <c r="C19" t="s">
        <v>64</v>
      </c>
      <c r="D19">
        <v>-113.75729292306301</v>
      </c>
    </row>
    <row r="20" spans="2:4" x14ac:dyDescent="0.25">
      <c r="B20" t="s">
        <v>40</v>
      </c>
      <c r="C20" t="s">
        <v>65</v>
      </c>
      <c r="D20">
        <v>-113.72828556186001</v>
      </c>
    </row>
    <row r="21" spans="2:4" x14ac:dyDescent="0.25">
      <c r="B21" t="s">
        <v>41</v>
      </c>
      <c r="C21" t="s">
        <v>66</v>
      </c>
      <c r="D21">
        <v>-113.72835356325101</v>
      </c>
    </row>
    <row r="22" spans="2:4" x14ac:dyDescent="0.25">
      <c r="B22" t="s">
        <v>42</v>
      </c>
      <c r="C22" t="s">
        <v>67</v>
      </c>
      <c r="D22">
        <v>-113.702354142861</v>
      </c>
    </row>
    <row r="23" spans="2:4" x14ac:dyDescent="0.25">
      <c r="B23" t="s">
        <v>43</v>
      </c>
      <c r="C23" t="s">
        <v>68</v>
      </c>
      <c r="D23">
        <v>-113.829254011242</v>
      </c>
    </row>
    <row r="24" spans="2:4" x14ac:dyDescent="0.25">
      <c r="B24" t="s">
        <v>44</v>
      </c>
      <c r="C24" t="s">
        <v>69</v>
      </c>
      <c r="D24">
        <v>-113.800045984782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Thesen</dc:creator>
  <cp:lastModifiedBy>Wade Thesen</cp:lastModifiedBy>
  <dcterms:created xsi:type="dcterms:W3CDTF">2025-02-08T04:23:31Z</dcterms:created>
  <dcterms:modified xsi:type="dcterms:W3CDTF">2025-02-08T23:08:45Z</dcterms:modified>
</cp:coreProperties>
</file>